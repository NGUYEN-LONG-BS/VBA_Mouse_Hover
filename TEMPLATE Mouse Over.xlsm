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6.0.254\Tuan An Group\1. Tap doan\7. Ban Kiem soat noi bo\Ban kiem soat noi bo 5 (Long)\NGUYEN_LONG\Add-in_KSNB\Project_Mouse_Hover\"/>
    </mc:Choice>
  </mc:AlternateContent>
  <bookViews>
    <workbookView xWindow="0" yWindow="0" windowWidth="28800" windowHeight="12330"/>
  </bookViews>
  <sheets>
    <sheet name="Dashboard" sheetId="1" r:id="rId1"/>
    <sheet name="Data" sheetId="2" r:id="rId2"/>
    <sheet name="Calculation" sheetId="3" r:id="rId3"/>
  </sheets>
  <functionGroups builtInGroupCount="18"/>
  <calcPr calcId="162913"/>
  <extLst>
    <ext uri="GoogleSheetsCustomDataVersion2">
      <go:sheetsCustomData xmlns:go="http://customooxmlschemas.google.com/" r:id="rId8" roundtripDataChecksum="xfDH7v1S62d92qe5pz+Ptr6WtMVMQKZgk6L+swl5G54="/>
    </ext>
  </extLst>
</workbook>
</file>

<file path=xl/calcChain.xml><?xml version="1.0" encoding="utf-8"?>
<calcChain xmlns="http://schemas.openxmlformats.org/spreadsheetml/2006/main">
  <c r="B8" i="3" l="1"/>
  <c r="B7" i="3"/>
  <c r="B6" i="3"/>
  <c r="B5" i="3"/>
  <c r="B4" i="3"/>
  <c r="D2" i="3"/>
  <c r="M2" i="3" s="1"/>
  <c r="B4" i="1" l="1" a="1"/>
  <c r="B4" i="1" l="1"/>
  <c r="D3" i="1" a="1"/>
  <c r="D3" i="1" l="1"/>
  <c r="E4" i="1" a="1"/>
  <c r="E4" i="1" l="1"/>
  <c r="G3" i="1" a="1"/>
  <c r="G3" i="1" l="1"/>
  <c r="C3" i="1" a="1"/>
  <c r="C3" i="1" l="1"/>
  <c r="D4" i="1" a="1"/>
  <c r="D4" i="1" l="1"/>
  <c r="F3" i="1" a="1"/>
  <c r="F3" i="1" l="1"/>
  <c r="G4" i="1" a="1"/>
  <c r="G4" i="1" l="1"/>
  <c r="C4" i="1" a="1"/>
  <c r="C4" i="1" l="1"/>
  <c r="E3" i="1" a="1"/>
  <c r="E3" i="1" l="1"/>
  <c r="F4" i="1" a="1"/>
  <c r="F4" i="1"/>
  <c r="B3" i="1"/>
</calcChain>
</file>

<file path=xl/sharedStrings.xml><?xml version="1.0" encoding="utf-8"?>
<sst xmlns="http://schemas.openxmlformats.org/spreadsheetml/2006/main" count="162" uniqueCount="38">
  <si>
    <t>Revenue per month</t>
  </si>
  <si>
    <t>Month</t>
  </si>
  <si>
    <t>Team</t>
  </si>
  <si>
    <t>Revenue</t>
  </si>
  <si>
    <t>Jan</t>
  </si>
  <si>
    <t>Team 1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</si>
  <si>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</si>
  <si>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</si>
  <si>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</si>
  <si>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</si>
  <si>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</si>
  <si>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</si>
  <si>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</si>
  <si>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</si>
  <si>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</si>
  <si>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</si>
  <si>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</si>
  <si>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Team 2</t>
  </si>
  <si>
    <t>Team 3</t>
  </si>
  <si>
    <t>Team 4</t>
  </si>
  <si>
    <t>Team 5</t>
  </si>
  <si>
    <t>Data for Dashboard</t>
  </si>
  <si>
    <t>Year:</t>
  </si>
  <si>
    <t>Text 1</t>
  </si>
  <si>
    <t>Final Text</t>
  </si>
  <si>
    <t>January</t>
  </si>
  <si>
    <t>Total Revenue</t>
  </si>
  <si>
    <t>Teams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</si>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</sst>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_-;\-* #,##0_-;_-* &quot;-&quot;??_-;_-@"/>
  </numFmts>
  <fonts count="5" x14ac:knownFonts="1">
    <font>
      <sz val="11"/>
      <color theme="1"/>
      <name val="Calibri"/>
      <scheme val="minor"/>
    </font>
    <font>
      <b/>
      <sz val="15"/>
      <color rgb="FF44546A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rgb="FFFFFF00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1" fillId="0" borderId="1" xfId="0" applyFont="1" applyBorder="1"/>
    <xf numFmtId="0" fontId="2" fillId="2" borderId="2" xfId="0" applyFont="1" applyFill="1" applyBorder="1" applyAlignment="1">
      <alignment horizontal="center" vertical="center"/>
    </xf>
    <xf numFmtId="0" fontId="2" fillId="0" borderId="3" xfId="0" applyFont="1" applyBorder="1"/>
    <xf numFmtId="0" fontId="3" fillId="0" borderId="0" xfId="0" applyFont="1"/>
    <xf numFmtId="164" fontId="2" fillId="0" borderId="0" xfId="0" applyNumberFormat="1" applyFont="1"/>
    <xf numFmtId="0" fontId="4" fillId="0" borderId="4" xfId="0" applyFont="1" applyBorder="1"/>
    <xf numFmtId="0" fontId="2" fillId="3" borderId="2" xfId="0" applyFont="1" applyFill="1" applyBorder="1"/>
    <xf numFmtId="0" fontId="2" fillId="4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US" b="0">
                <a:solidFill>
                  <a:srgbClr val="757575"/>
                </a:solidFill>
                <a:latin typeface="+mn-lt"/>
              </a:rPr>
              <a:t>Total Revenue May 2023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v>Revenue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000" b="1" i="0">
                    <a:solidFill>
                      <a:srgbClr val="FFFFFF"/>
                    </a:solidFill>
                    <a:latin typeface="+mn-lt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Calculation!$A$4:$A$8</c:f>
              <c:strCache>
                <c:ptCount val="5"/>
                <c:pt idx="0">
                  <c:v>Team 1</c:v>
                </c:pt>
                <c:pt idx="1">
                  <c:v>Team 2</c:v>
                </c:pt>
                <c:pt idx="2">
                  <c:v>Team 3</c:v>
                </c:pt>
                <c:pt idx="3">
                  <c:v>Team 4</c:v>
                </c:pt>
                <c:pt idx="4">
                  <c:v>Team 5</c:v>
                </c:pt>
              </c:strCache>
            </c:strRef>
          </c:cat>
          <c:val>
            <c:numRef>
              <c:f>Calculation!$B$4:$B$8</c:f>
              <c:numCache>
                <c:formatCode>_-* #,##0_-;\-* #,##0_-;_-* "-"??_-;_-@</c:formatCode>
                <c:ptCount val="5"/>
                <c:pt idx="0">
                  <c:v>74296</c:v>
                </c:pt>
                <c:pt idx="1">
                  <c:v>53174</c:v>
                </c:pt>
                <c:pt idx="2">
                  <c:v>56595</c:v>
                </c:pt>
                <c:pt idx="3">
                  <c:v>12223</c:v>
                </c:pt>
                <c:pt idx="4">
                  <c:v>26848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1CD-4AD4-B5F7-6AFF8CDFD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6625953"/>
        <c:axId val="267827719"/>
      </c:barChart>
      <c:catAx>
        <c:axId val="86662595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AE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chemeClr val="dk1"/>
                </a:solidFill>
                <a:latin typeface="+mn-lt"/>
              </a:defRPr>
            </a:pPr>
            <a:endParaRPr lang="en-US"/>
          </a:p>
        </c:txPr>
        <c:crossAx val="267827719"/>
        <c:crosses val="autoZero"/>
        <c:auto val="1"/>
        <c:lblAlgn val="ctr"/>
        <c:lblOffset val="100"/>
        <c:noMultiLvlLbl val="1"/>
      </c:catAx>
      <c:valAx>
        <c:axId val="26782771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AE"/>
              </a:p>
            </c:rich>
          </c:tx>
          <c:layout/>
          <c:overlay val="0"/>
        </c:title>
        <c:numFmt formatCode="_-* #,##0_-;\-* #,##0_-;_-* &quot;-&quot;??_-;_-@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866625953"/>
        <c:crosses val="autoZero"/>
        <c:crossBetween val="between"/>
      </c:valAx>
    </c:plotArea>
    <c:plotVisOnly val="1"/>
    <c:dispBlanksAs val="zero"/>
    <c:showDLblsOverMax val="1"/>
  </c:chart>
  <c:spPr>
    <a:solidFill>
      <a:schemeClr val="lt1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4686300" cy="2876550"/>
    <xdr:graphicFrame macro="">
      <xdr:nvGraphicFramePr>
        <xdr:cNvPr id="123038029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1000"/>
  <sheetViews>
    <sheetView showGridLines="0" tabSelected="1" workbookViewId="0">
      <selection activeCell="E5" sqref="E5"/>
    </sheetView>
  </sheetViews>
  <sheetFormatPr defaultColWidth="14.42578125" defaultRowHeight="15" customHeight="1" x14ac:dyDescent="0.25"/>
  <cols>
    <col min="1" max="1" width="4" customWidth="1"/>
    <col min="2" max="7" width="11.7109375" customWidth="1"/>
    <col min="8" max="26" width="8.7109375" customWidth="1"/>
  </cols>
  <sheetData>
    <row r="1" spans="2:7" ht="19.5" x14ac:dyDescent="0.3">
      <c r="B1" s="1" t="s">
        <v>0</v>
      </c>
      <c r="C1" s="1"/>
    </row>
    <row r="3" spans="2:7" ht="27.75" customHeight="1" x14ac:dyDescent="0.25">
      <c r="B3" s="2" t="str">
        <f>IFERROR(HYPERLINK(SelectMonth(B3)),"Jan")</f>
        <v>Jan</v>
      </c>
      <c r="C3" s="2" t="str">
        <f t="array" ref="C3">IFERROR(HYPERLINK(SelectMonth(C3)),"Feb")</f>
        <v>Feb</v>
      </c>
      <c r="D3" s="2" t="str">
        <f t="array" ref="D3">IFERROR(HYPERLINK(SelectMonth(D3)),"Mar")</f>
        <v>Mar</v>
      </c>
      <c r="E3" s="2" t="str">
        <f t="array" ref="E3">IFERROR(HYPERLINK(SelectMonth(E3)),"Apr")</f>
        <v>Apr</v>
      </c>
      <c r="F3" s="2" t="str">
        <f t="array" ref="F3">IFERROR(HYPERLINK(SelectMonth(F3)),"May")</f>
        <v>May</v>
      </c>
      <c r="G3" s="2" t="str">
        <f t="array" ref="G3">IFERROR(HYPERLINK(SelectMonth(G3)),"Jun")</f>
        <v>Jun</v>
      </c>
    </row>
    <row r="4" spans="2:7" ht="27.75" customHeight="1" x14ac:dyDescent="0.25">
      <c r="B4" s="2" t="str">
        <f t="array" ref="B4">IFERROR(HYPERLINK(SelectMonth(B4)),"Jul")</f>
        <v>Jul</v>
      </c>
      <c r="C4" s="2" t="str">
        <f t="array" ref="C4">IFERROR(HYPERLINK(SelectMonth(C4)),"Aug")</f>
        <v>Aug</v>
      </c>
      <c r="D4" s="2" t="str">
        <f t="array" ref="D4">IFERROR(HYPERLINK(SelectMonth(D4)),"Sep")</f>
        <v>Sep</v>
      </c>
      <c r="E4" s="2" t="str">
        <f t="array" ref="E4">IFERROR(HYPERLINK(SelectMonth(E4)),"Oct")</f>
        <v>Oct</v>
      </c>
      <c r="F4" s="2" t="str">
        <f t="array" ref="F4">IFERROR(HYPERLINK(SelectMonth(F4)),"Nov")</f>
        <v>Nov</v>
      </c>
      <c r="G4" s="2" t="str">
        <f t="array" ref="G4">IFERROR(HYPERLINK(SelectMonth(G4)),"Dec")</f>
        <v>Dec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00"/>
  <sheetViews>
    <sheetView workbookViewId="0">
      <selection activeCell="C14" sqref="C14"/>
    </sheetView>
  </sheetViews>
  <sheetFormatPr defaultColWidth="14.42578125" defaultRowHeight="15" customHeight="1" x14ac:dyDescent="0.25"/>
  <cols>
    <col min="1" max="2" width="8.7109375" customWidth="1"/>
    <col min="3" max="3" width="11.28515625" customWidth="1"/>
    <col min="4" max="26" width="8.7109375" customWidth="1"/>
  </cols>
  <sheetData>
    <row r="1" spans="1:3" x14ac:dyDescent="0.25">
      <c r="A1" s="3" t="s">
        <v>1</v>
      </c>
      <c r="B1" s="3" t="s">
        <v>2</v>
      </c>
      <c r="C1" s="3" t="s">
        <v>3</v>
      </c>
    </row>
    <row r="2" spans="1:3" x14ac:dyDescent="0.25">
      <c r="A2" s="4" t="s">
        <v>4</v>
      </c>
      <c r="B2" s="4" t="s">
        <v>5</v>
      </c>
      <c r="C2" s="5">
        <v>21405</v>
      </c>
    </row>
    <row r="3" spans="1:3" x14ac:dyDescent="0.25">
      <c r="A3" s="4" t="s">
        <v>6</v>
      </c>
      <c r="B3" s="4" t="s">
        <v>5</v>
      </c>
      <c r="C3" s="5">
        <v>69962</v>
      </c>
    </row>
    <row r="4" spans="1:3" x14ac:dyDescent="0.25">
      <c r="A4" s="4" t="s">
        <v>7</v>
      </c>
      <c r="B4" s="4" t="s">
        <v>5</v>
      </c>
      <c r="C4" s="5">
        <v>10229</v>
      </c>
    </row>
    <row r="5" spans="1:3" x14ac:dyDescent="0.25">
      <c r="A5" s="4" t="s">
        <v>8</v>
      </c>
      <c r="B5" s="4" t="s">
        <v>5</v>
      </c>
      <c r="C5" s="5">
        <v>10171</v>
      </c>
    </row>
    <row r="6" spans="1:3" x14ac:dyDescent="0.25">
      <c r="A6" s="4" t="s">
        <v>9</v>
      </c>
      <c r="B6" s="4" t="s">
        <v>5</v>
      </c>
      <c r="C6" s="5">
        <v>71695</v>
      </c>
    </row>
    <row r="7" spans="1:3" x14ac:dyDescent="0.25">
      <c r="A7" s="4" t="s">
        <v>10</v>
      </c>
      <c r="B7" s="4" t="s">
        <v>5</v>
      </c>
      <c r="C7" s="5">
        <v>39663</v>
      </c>
    </row>
    <row r="8" spans="1:3" x14ac:dyDescent="0.25">
      <c r="A8" s="4" t="s">
        <v>11</v>
      </c>
      <c r="B8" s="4" t="s">
        <v>5</v>
      </c>
      <c r="C8" s="5">
        <v>48801</v>
      </c>
    </row>
    <row r="9" spans="1:3" x14ac:dyDescent="0.25">
      <c r="A9" s="4" t="s">
        <v>12</v>
      </c>
      <c r="B9" s="4" t="s">
        <v>5</v>
      </c>
      <c r="C9" s="5">
        <v>60827</v>
      </c>
    </row>
    <row r="10" spans="1:3" x14ac:dyDescent="0.25">
      <c r="A10" s="4" t="s">
        <v>13</v>
      </c>
      <c r="B10" s="4" t="s">
        <v>5</v>
      </c>
      <c r="C10" s="5">
        <v>40310</v>
      </c>
    </row>
    <row r="11" spans="1:3" x14ac:dyDescent="0.25">
      <c r="A11" s="4" t="s">
        <v>14</v>
      </c>
      <c r="B11" s="4" t="s">
        <v>5</v>
      </c>
      <c r="C11" s="5">
        <v>46135</v>
      </c>
    </row>
    <row r="12" spans="1:3" x14ac:dyDescent="0.25">
      <c r="A12" s="4" t="s">
        <v>15</v>
      </c>
      <c r="B12" s="4" t="s">
        <v>5</v>
      </c>
      <c r="C12" s="5">
        <v>74296</v>
      </c>
    </row>
    <row r="13" spans="1:3" x14ac:dyDescent="0.25">
      <c r="A13" s="4" t="s">
        <v>16</v>
      </c>
      <c r="B13" s="4" t="s">
        <v>5</v>
      </c>
      <c r="C13" s="5">
        <v>30460</v>
      </c>
    </row>
    <row r="14" spans="1:3" x14ac:dyDescent="0.25">
      <c r="A14" s="4" t="s">
        <v>4</v>
      </c>
      <c r="B14" s="4" t="s">
        <v>17</v>
      </c>
      <c r="C14" s="5">
        <v>25693</v>
      </c>
    </row>
    <row r="15" spans="1:3" x14ac:dyDescent="0.25">
      <c r="A15" s="4" t="s">
        <v>6</v>
      </c>
      <c r="B15" s="4" t="s">
        <v>17</v>
      </c>
      <c r="C15" s="5">
        <v>54972</v>
      </c>
    </row>
    <row r="16" spans="1:3" x14ac:dyDescent="0.25">
      <c r="A16" s="4" t="s">
        <v>7</v>
      </c>
      <c r="B16" s="4" t="s">
        <v>17</v>
      </c>
      <c r="C16" s="5">
        <v>44164</v>
      </c>
    </row>
    <row r="17" spans="1:3" x14ac:dyDescent="0.25">
      <c r="A17" s="4" t="s">
        <v>8</v>
      </c>
      <c r="B17" s="4" t="s">
        <v>17</v>
      </c>
      <c r="C17" s="5">
        <v>52096</v>
      </c>
    </row>
    <row r="18" spans="1:3" x14ac:dyDescent="0.25">
      <c r="A18" s="4" t="s">
        <v>9</v>
      </c>
      <c r="B18" s="4" t="s">
        <v>17</v>
      </c>
      <c r="C18" s="5">
        <v>57187</v>
      </c>
    </row>
    <row r="19" spans="1:3" x14ac:dyDescent="0.25">
      <c r="A19" s="4" t="s">
        <v>10</v>
      </c>
      <c r="B19" s="4" t="s">
        <v>17</v>
      </c>
      <c r="C19" s="5">
        <v>75629</v>
      </c>
    </row>
    <row r="20" spans="1:3" x14ac:dyDescent="0.25">
      <c r="A20" s="4" t="s">
        <v>11</v>
      </c>
      <c r="B20" s="4" t="s">
        <v>17</v>
      </c>
      <c r="C20" s="5">
        <v>38999</v>
      </c>
    </row>
    <row r="21" spans="1:3" ht="15.75" customHeight="1" x14ac:dyDescent="0.25">
      <c r="A21" s="4" t="s">
        <v>12</v>
      </c>
      <c r="B21" s="4" t="s">
        <v>17</v>
      </c>
      <c r="C21" s="5">
        <v>34659</v>
      </c>
    </row>
    <row r="22" spans="1:3" ht="15.75" customHeight="1" x14ac:dyDescent="0.25">
      <c r="A22" s="4" t="s">
        <v>13</v>
      </c>
      <c r="B22" s="4" t="s">
        <v>17</v>
      </c>
      <c r="C22" s="5">
        <v>42711</v>
      </c>
    </row>
    <row r="23" spans="1:3" ht="15.75" customHeight="1" x14ac:dyDescent="0.25">
      <c r="A23" s="4" t="s">
        <v>14</v>
      </c>
      <c r="B23" s="4" t="s">
        <v>17</v>
      </c>
      <c r="C23" s="5">
        <v>50812</v>
      </c>
    </row>
    <row r="24" spans="1:3" ht="15.75" customHeight="1" x14ac:dyDescent="0.25">
      <c r="A24" s="4" t="s">
        <v>15</v>
      </c>
      <c r="B24" s="4" t="s">
        <v>17</v>
      </c>
      <c r="C24" s="5">
        <v>53174</v>
      </c>
    </row>
    <row r="25" spans="1:3" ht="15.75" customHeight="1" x14ac:dyDescent="0.25">
      <c r="A25" s="4" t="s">
        <v>16</v>
      </c>
      <c r="B25" s="4" t="s">
        <v>17</v>
      </c>
      <c r="C25" s="5">
        <v>12489</v>
      </c>
    </row>
    <row r="26" spans="1:3" ht="15.75" customHeight="1" x14ac:dyDescent="0.25">
      <c r="A26" s="4" t="s">
        <v>4</v>
      </c>
      <c r="B26" s="4" t="s">
        <v>18</v>
      </c>
      <c r="C26" s="5">
        <v>36644</v>
      </c>
    </row>
    <row r="27" spans="1:3" ht="15.75" customHeight="1" x14ac:dyDescent="0.25">
      <c r="A27" s="4" t="s">
        <v>6</v>
      </c>
      <c r="B27" s="4" t="s">
        <v>18</v>
      </c>
      <c r="C27" s="5">
        <v>47251</v>
      </c>
    </row>
    <row r="28" spans="1:3" ht="15.75" customHeight="1" x14ac:dyDescent="0.25">
      <c r="A28" s="4" t="s">
        <v>7</v>
      </c>
      <c r="B28" s="4" t="s">
        <v>18</v>
      </c>
      <c r="C28" s="5">
        <v>49944</v>
      </c>
    </row>
    <row r="29" spans="1:3" ht="15.75" customHeight="1" x14ac:dyDescent="0.25">
      <c r="A29" s="4" t="s">
        <v>8</v>
      </c>
      <c r="B29" s="4" t="s">
        <v>18</v>
      </c>
      <c r="C29" s="5">
        <v>49234</v>
      </c>
    </row>
    <row r="30" spans="1:3" ht="15.75" customHeight="1" x14ac:dyDescent="0.25">
      <c r="A30" s="4" t="s">
        <v>9</v>
      </c>
      <c r="B30" s="4" t="s">
        <v>18</v>
      </c>
      <c r="C30" s="5">
        <v>30057</v>
      </c>
    </row>
    <row r="31" spans="1:3" ht="15.75" customHeight="1" x14ac:dyDescent="0.25">
      <c r="A31" s="4" t="s">
        <v>10</v>
      </c>
      <c r="B31" s="4" t="s">
        <v>18</v>
      </c>
      <c r="C31" s="5">
        <v>63831</v>
      </c>
    </row>
    <row r="32" spans="1:3" ht="15.75" customHeight="1" x14ac:dyDescent="0.25">
      <c r="A32" s="4" t="s">
        <v>11</v>
      </c>
      <c r="B32" s="4" t="s">
        <v>18</v>
      </c>
      <c r="C32" s="5">
        <v>71838</v>
      </c>
    </row>
    <row r="33" spans="1:3" ht="15.75" customHeight="1" x14ac:dyDescent="0.25">
      <c r="A33" s="4" t="s">
        <v>12</v>
      </c>
      <c r="B33" s="4" t="s">
        <v>18</v>
      </c>
      <c r="C33" s="5">
        <v>36275</v>
      </c>
    </row>
    <row r="34" spans="1:3" ht="15.75" customHeight="1" x14ac:dyDescent="0.25">
      <c r="A34" s="4" t="s">
        <v>13</v>
      </c>
      <c r="B34" s="4" t="s">
        <v>18</v>
      </c>
      <c r="C34" s="5">
        <v>33373</v>
      </c>
    </row>
    <row r="35" spans="1:3" ht="15.75" customHeight="1" x14ac:dyDescent="0.25">
      <c r="A35" s="4" t="s">
        <v>14</v>
      </c>
      <c r="B35" s="4" t="s">
        <v>18</v>
      </c>
      <c r="C35" s="5">
        <v>48983</v>
      </c>
    </row>
    <row r="36" spans="1:3" ht="15.75" customHeight="1" x14ac:dyDescent="0.25">
      <c r="A36" s="4" t="s">
        <v>15</v>
      </c>
      <c r="B36" s="4" t="s">
        <v>18</v>
      </c>
      <c r="C36" s="5">
        <v>56595</v>
      </c>
    </row>
    <row r="37" spans="1:3" ht="15.75" customHeight="1" x14ac:dyDescent="0.25">
      <c r="A37" s="4" t="s">
        <v>16</v>
      </c>
      <c r="B37" s="4" t="s">
        <v>18</v>
      </c>
      <c r="C37" s="5">
        <v>65402</v>
      </c>
    </row>
    <row r="38" spans="1:3" ht="15.75" customHeight="1" x14ac:dyDescent="0.25">
      <c r="A38" s="4" t="s">
        <v>4</v>
      </c>
      <c r="B38" s="4" t="s">
        <v>19</v>
      </c>
      <c r="C38" s="5">
        <v>33501</v>
      </c>
    </row>
    <row r="39" spans="1:3" ht="15.75" customHeight="1" x14ac:dyDescent="0.25">
      <c r="A39" s="4" t="s">
        <v>6</v>
      </c>
      <c r="B39" s="4" t="s">
        <v>19</v>
      </c>
      <c r="C39" s="5">
        <v>28230</v>
      </c>
    </row>
    <row r="40" spans="1:3" ht="15.75" customHeight="1" x14ac:dyDescent="0.25">
      <c r="A40" s="4" t="s">
        <v>7</v>
      </c>
      <c r="B40" s="4" t="s">
        <v>19</v>
      </c>
      <c r="C40" s="5">
        <v>49584</v>
      </c>
    </row>
    <row r="41" spans="1:3" ht="15.75" customHeight="1" x14ac:dyDescent="0.25">
      <c r="A41" s="4" t="s">
        <v>8</v>
      </c>
      <c r="B41" s="4" t="s">
        <v>19</v>
      </c>
      <c r="C41" s="5">
        <v>31879</v>
      </c>
    </row>
    <row r="42" spans="1:3" ht="15.75" customHeight="1" x14ac:dyDescent="0.25">
      <c r="A42" s="4" t="s">
        <v>9</v>
      </c>
      <c r="B42" s="4" t="s">
        <v>19</v>
      </c>
      <c r="C42" s="5">
        <v>27205</v>
      </c>
    </row>
    <row r="43" spans="1:3" ht="15.75" customHeight="1" x14ac:dyDescent="0.25">
      <c r="A43" s="4" t="s">
        <v>10</v>
      </c>
      <c r="B43" s="4" t="s">
        <v>19</v>
      </c>
      <c r="C43" s="5">
        <v>34306</v>
      </c>
    </row>
    <row r="44" spans="1:3" ht="15.75" customHeight="1" x14ac:dyDescent="0.25">
      <c r="A44" s="4" t="s">
        <v>11</v>
      </c>
      <c r="B44" s="4" t="s">
        <v>19</v>
      </c>
      <c r="C44" s="5">
        <v>61054</v>
      </c>
    </row>
    <row r="45" spans="1:3" ht="15.75" customHeight="1" x14ac:dyDescent="0.25">
      <c r="A45" s="4" t="s">
        <v>12</v>
      </c>
      <c r="B45" s="4" t="s">
        <v>19</v>
      </c>
      <c r="C45" s="5">
        <v>51489</v>
      </c>
    </row>
    <row r="46" spans="1:3" ht="15.75" customHeight="1" x14ac:dyDescent="0.25">
      <c r="A46" s="4" t="s">
        <v>13</v>
      </c>
      <c r="B46" s="4" t="s">
        <v>19</v>
      </c>
      <c r="C46" s="5">
        <v>68121</v>
      </c>
    </row>
    <row r="47" spans="1:3" ht="15.75" customHeight="1" x14ac:dyDescent="0.25">
      <c r="A47" s="4" t="s">
        <v>14</v>
      </c>
      <c r="B47" s="4" t="s">
        <v>19</v>
      </c>
      <c r="C47" s="5">
        <v>73131</v>
      </c>
    </row>
    <row r="48" spans="1:3" ht="15.75" customHeight="1" x14ac:dyDescent="0.25">
      <c r="A48" s="4" t="s">
        <v>15</v>
      </c>
      <c r="B48" s="4" t="s">
        <v>19</v>
      </c>
      <c r="C48" s="5">
        <v>12223</v>
      </c>
    </row>
    <row r="49" spans="1:3" ht="15.75" customHeight="1" x14ac:dyDescent="0.25">
      <c r="A49" s="4" t="s">
        <v>16</v>
      </c>
      <c r="B49" s="4" t="s">
        <v>19</v>
      </c>
      <c r="C49" s="5">
        <v>10633</v>
      </c>
    </row>
    <row r="50" spans="1:3" ht="15.75" customHeight="1" x14ac:dyDescent="0.25">
      <c r="A50" s="4" t="s">
        <v>4</v>
      </c>
      <c r="B50" s="4" t="s">
        <v>20</v>
      </c>
      <c r="C50" s="5">
        <v>39699</v>
      </c>
    </row>
    <row r="51" spans="1:3" ht="15.75" customHeight="1" x14ac:dyDescent="0.25">
      <c r="A51" s="4" t="s">
        <v>6</v>
      </c>
      <c r="B51" s="4" t="s">
        <v>20</v>
      </c>
      <c r="C51" s="5">
        <v>49793</v>
      </c>
    </row>
    <row r="52" spans="1:3" ht="15.75" customHeight="1" x14ac:dyDescent="0.25">
      <c r="A52" s="4" t="s">
        <v>7</v>
      </c>
      <c r="B52" s="4" t="s">
        <v>20</v>
      </c>
      <c r="C52" s="5">
        <v>56313</v>
      </c>
    </row>
    <row r="53" spans="1:3" ht="15.75" customHeight="1" x14ac:dyDescent="0.25">
      <c r="A53" s="4" t="s">
        <v>8</v>
      </c>
      <c r="B53" s="4" t="s">
        <v>20</v>
      </c>
      <c r="C53" s="5">
        <v>15363</v>
      </c>
    </row>
    <row r="54" spans="1:3" ht="15.75" customHeight="1" x14ac:dyDescent="0.25">
      <c r="A54" s="4" t="s">
        <v>9</v>
      </c>
      <c r="B54" s="4" t="s">
        <v>20</v>
      </c>
      <c r="C54" s="5">
        <v>39264</v>
      </c>
    </row>
    <row r="55" spans="1:3" ht="15.75" customHeight="1" x14ac:dyDescent="0.25">
      <c r="A55" s="4" t="s">
        <v>10</v>
      </c>
      <c r="B55" s="4" t="s">
        <v>20</v>
      </c>
      <c r="C55" s="5">
        <v>64297</v>
      </c>
    </row>
    <row r="56" spans="1:3" ht="15.75" customHeight="1" x14ac:dyDescent="0.25">
      <c r="A56" s="4" t="s">
        <v>11</v>
      </c>
      <c r="B56" s="4" t="s">
        <v>20</v>
      </c>
      <c r="C56" s="5">
        <v>34201</v>
      </c>
    </row>
    <row r="57" spans="1:3" ht="15.75" customHeight="1" x14ac:dyDescent="0.25">
      <c r="A57" s="4" t="s">
        <v>12</v>
      </c>
      <c r="B57" s="4" t="s">
        <v>20</v>
      </c>
      <c r="C57" s="5">
        <v>17738</v>
      </c>
    </row>
    <row r="58" spans="1:3" ht="15.75" customHeight="1" x14ac:dyDescent="0.25">
      <c r="A58" s="4" t="s">
        <v>13</v>
      </c>
      <c r="B58" s="4" t="s">
        <v>20</v>
      </c>
      <c r="C58" s="5">
        <v>40761</v>
      </c>
    </row>
    <row r="59" spans="1:3" ht="15.75" customHeight="1" x14ac:dyDescent="0.25">
      <c r="A59" s="4" t="s">
        <v>14</v>
      </c>
      <c r="B59" s="4" t="s">
        <v>20</v>
      </c>
      <c r="C59" s="5">
        <v>42493</v>
      </c>
    </row>
    <row r="60" spans="1:3" ht="15.75" customHeight="1" x14ac:dyDescent="0.25">
      <c r="A60" s="4" t="s">
        <v>15</v>
      </c>
      <c r="B60" s="4" t="s">
        <v>20</v>
      </c>
      <c r="C60" s="5">
        <v>26848</v>
      </c>
    </row>
    <row r="61" spans="1:3" ht="15.75" customHeight="1" x14ac:dyDescent="0.25">
      <c r="A61" s="4" t="s">
        <v>16</v>
      </c>
      <c r="B61" s="4" t="s">
        <v>20</v>
      </c>
      <c r="C61" s="5">
        <v>79027</v>
      </c>
    </row>
    <row r="62" spans="1:3" ht="15.75" customHeight="1" x14ac:dyDescent="0.25"/>
    <row r="63" spans="1:3" ht="15.75" customHeight="1" x14ac:dyDescent="0.25"/>
    <row r="64" spans="1:3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00"/>
  <sheetViews>
    <sheetView workbookViewId="0">
      <selection activeCell="B1" sqref="B1"/>
    </sheetView>
  </sheetViews>
  <sheetFormatPr defaultColWidth="14.42578125" defaultRowHeight="15" customHeight="1" x14ac:dyDescent="0.25"/>
  <cols>
    <col min="1" max="1" width="8.7109375" customWidth="1"/>
    <col min="2" max="2" width="10.28515625" customWidth="1"/>
    <col min="3" max="3" width="8.7109375" customWidth="1"/>
    <col min="4" max="4" width="11.85546875" customWidth="1"/>
    <col min="5" max="5" width="4.140625" customWidth="1"/>
    <col min="6" max="6" width="8.7109375" customWidth="1"/>
    <col min="7" max="7" width="10.85546875" customWidth="1"/>
    <col min="8" max="8" width="3.140625" customWidth="1"/>
    <col min="9" max="9" width="8.7109375" customWidth="1"/>
    <col min="10" max="10" width="3.140625" customWidth="1"/>
    <col min="11" max="11" width="15.140625" customWidth="1"/>
    <col min="12" max="12" width="8.7109375" customWidth="1"/>
    <col min="13" max="13" width="30.7109375" customWidth="1"/>
    <col min="14" max="26" width="8.7109375" customWidth="1"/>
  </cols>
  <sheetData>
    <row r="1" spans="1:13" x14ac:dyDescent="0.25">
      <c r="A1" s="6" t="s">
        <v>1</v>
      </c>
      <c r="B1" s="7" t="s">
        <v>15</v>
      </c>
      <c r="D1" s="6" t="s">
        <v>21</v>
      </c>
      <c r="E1" s="6"/>
      <c r="F1" s="6"/>
      <c r="I1" s="6" t="s">
        <v>22</v>
      </c>
      <c r="K1" s="6" t="s">
        <v>23</v>
      </c>
      <c r="M1" s="6" t="s">
        <v>24</v>
      </c>
    </row>
    <row r="2" spans="1:13" x14ac:dyDescent="0.25">
      <c r="D2" s="7" t="str">
        <f>IF(B1=F2,G2,IF(B1=F3,G3,IF(B1=F4,G4,IF(B1=F5,G5,IF(B1=F6,G6,IF(B1=F7,G7,IF(B1=F8,G8,IF(B1=F9,G9,IF(B1=F10,G10,IF(B1=F11,G11,IF(B1=F12,G12,IF(B1=F13,G13))))))))))))</f>
        <v>November</v>
      </c>
      <c r="F2" s="4" t="s">
        <v>4</v>
      </c>
      <c r="G2" s="4" t="s">
        <v>25</v>
      </c>
      <c r="I2" s="8">
        <v>2023</v>
      </c>
      <c r="K2" s="8" t="s">
        <v>26</v>
      </c>
      <c r="M2" s="7" t="str">
        <f>CONCATENATE(K2," ",D2," ",I2)</f>
        <v>Total Revenue November 2023</v>
      </c>
    </row>
    <row r="3" spans="1:13" x14ac:dyDescent="0.25">
      <c r="A3" s="4" t="s">
        <v>27</v>
      </c>
      <c r="B3" s="4" t="s">
        <v>3</v>
      </c>
      <c r="F3" s="4" t="s">
        <v>6</v>
      </c>
      <c r="G3" s="4" t="s">
        <v>28</v>
      </c>
    </row>
    <row r="4" spans="1:13" x14ac:dyDescent="0.25">
      <c r="A4" s="4" t="s">
        <v>5</v>
      </c>
      <c r="B4" s="5">
        <f>SUMIFS(Data!$C$2:$C$61,Data!$B$2:$B$61,Calculation!A4,Data!$A$2:$A$61,Calculation!$B$1)</f>
        <v>74296</v>
      </c>
      <c r="F4" s="4" t="s">
        <v>7</v>
      </c>
      <c r="G4" s="4" t="s">
        <v>29</v>
      </c>
    </row>
    <row r="5" spans="1:13" x14ac:dyDescent="0.25">
      <c r="A5" s="4" t="s">
        <v>17</v>
      </c>
      <c r="B5" s="5">
        <f>SUMIFS(Data!$C$2:$C$61,Data!$B$2:$B$61,Calculation!A5,Data!$A$2:$A$61,Calculation!$B$1)</f>
        <v>53174</v>
      </c>
      <c r="F5" s="4" t="s">
        <v>8</v>
      </c>
      <c r="G5" s="4" t="s">
        <v>30</v>
      </c>
    </row>
    <row r="6" spans="1:13" x14ac:dyDescent="0.25">
      <c r="A6" s="4" t="s">
        <v>18</v>
      </c>
      <c r="B6" s="5">
        <f>SUMIFS(Data!$C$2:$C$61,Data!$B$2:$B$61,Calculation!A6,Data!$A$2:$A$61,Calculation!$B$1)</f>
        <v>56595</v>
      </c>
      <c r="F6" s="4" t="s">
        <v>9</v>
      </c>
      <c r="G6" s="4" t="s">
        <v>9</v>
      </c>
    </row>
    <row r="7" spans="1:13" x14ac:dyDescent="0.25">
      <c r="A7" s="4" t="s">
        <v>19</v>
      </c>
      <c r="B7" s="5">
        <f>SUMIFS(Data!$C$2:$C$61,Data!$B$2:$B$61,Calculation!A7,Data!$A$2:$A$61,Calculation!$B$1)</f>
        <v>12223</v>
      </c>
      <c r="F7" s="4" t="s">
        <v>10</v>
      </c>
      <c r="G7" s="4" t="s">
        <v>31</v>
      </c>
    </row>
    <row r="8" spans="1:13" x14ac:dyDescent="0.25">
      <c r="A8" s="4" t="s">
        <v>20</v>
      </c>
      <c r="B8" s="5">
        <f>SUMIFS(Data!$C$2:$C$61,Data!$B$2:$B$61,Calculation!A8,Data!$A$2:$A$61,Calculation!$B$1)</f>
        <v>26848</v>
      </c>
      <c r="F8" s="4" t="s">
        <v>11</v>
      </c>
      <c r="G8" s="4" t="s">
        <v>32</v>
      </c>
    </row>
    <row r="9" spans="1:13" x14ac:dyDescent="0.25">
      <c r="F9" s="4" t="s">
        <v>12</v>
      </c>
      <c r="G9" s="4" t="s">
        <v>33</v>
      </c>
    </row>
    <row r="10" spans="1:13" x14ac:dyDescent="0.25">
      <c r="F10" s="4" t="s">
        <v>13</v>
      </c>
      <c r="G10" s="4" t="s">
        <v>34</v>
      </c>
    </row>
    <row r="11" spans="1:13" x14ac:dyDescent="0.25">
      <c r="F11" s="4" t="s">
        <v>14</v>
      </c>
      <c r="G11" s="4" t="s">
        <v>35</v>
      </c>
    </row>
    <row r="12" spans="1:13" x14ac:dyDescent="0.25">
      <c r="F12" s="4" t="s">
        <v>15</v>
      </c>
      <c r="G12" s="4" t="s">
        <v>36</v>
      </c>
    </row>
    <row r="13" spans="1:13" x14ac:dyDescent="0.25">
      <c r="F13" s="4" t="s">
        <v>16</v>
      </c>
      <c r="G13" s="4" t="s">
        <v>37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Data</vt:lpstr>
      <vt:lpstr>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Katerina Samalea</dc:creator>
  <cp:lastModifiedBy>banksnb5</cp:lastModifiedBy>
  <dcterms:created xsi:type="dcterms:W3CDTF">2015-06-05T18:19:34Z</dcterms:created>
  <dcterms:modified xsi:type="dcterms:W3CDTF">2023-09-05T04:49:54Z</dcterms:modified>
</cp:coreProperties>
</file>